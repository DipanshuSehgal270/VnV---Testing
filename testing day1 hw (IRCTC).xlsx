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n\OneDrive\Desktop\"/>
    </mc:Choice>
  </mc:AlternateContent>
  <xr:revisionPtr revIDLastSave="0" documentId="13_ncr:1_{29E261E8-22F8-45AC-8AAC-A9EE84DD63A5}" xr6:coauthVersionLast="47" xr6:coauthVersionMax="47" xr10:uidLastSave="{00000000-0000-0000-0000-000000000000}"/>
  <bookViews>
    <workbookView xWindow="-108" yWindow="-108" windowWidth="23256" windowHeight="12456" xr2:uid="{1C59C880-AFA4-42E0-840C-C090C71C6639}"/>
  </bookViews>
  <sheets>
    <sheet name="Sheet1" sheetId="1" r:id="rId1"/>
  </sheets>
  <definedNames>
    <definedName name="_xlnm._FilterDatabase" localSheetId="0" hidden="1">Sheet1!$A$7:$D$99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A93" i="1"/>
  <c r="A91" i="1"/>
  <c r="A90" i="1"/>
  <c r="A84" i="1"/>
  <c r="A83" i="1"/>
  <c r="A80" i="1"/>
  <c r="A81" i="1"/>
  <c r="A79" i="1"/>
  <c r="A71" i="1"/>
  <c r="A72" i="1"/>
  <c r="A73" i="1"/>
  <c r="A70" i="1"/>
  <c r="A68" i="1"/>
  <c r="A67" i="1"/>
  <c r="A66" i="1"/>
</calcChain>
</file>

<file path=xl/sharedStrings.xml><?xml version="1.0" encoding="utf-8"?>
<sst xmlns="http://schemas.openxmlformats.org/spreadsheetml/2006/main" count="200" uniqueCount="107">
  <si>
    <t>APPLICATION_NAME</t>
  </si>
  <si>
    <t>IRCTC</t>
  </si>
  <si>
    <t>MODULE_NAME</t>
  </si>
  <si>
    <t>REGISTER</t>
  </si>
  <si>
    <t>AUTHOR</t>
  </si>
  <si>
    <t>DIPANSHU SEHGAL</t>
  </si>
  <si>
    <t>COMPONENT_NAME</t>
  </si>
  <si>
    <t>IRCTC_REGISTER_001</t>
  </si>
  <si>
    <t>USERNAME TEXT FIELD</t>
  </si>
  <si>
    <t>TO CHECK THAT USERNAME TEXT FIELD ACCEPTS MINIMUM 3 ALPHABETS</t>
  </si>
  <si>
    <t>POSITIVE</t>
  </si>
  <si>
    <t>REVIEW DATE</t>
  </si>
  <si>
    <t>IRCTC_REGISTER_002</t>
  </si>
  <si>
    <t>TO CHECK THAT USERNAME TEXT FIELD ACCEPTS MINIMUM 3 NUMBERS</t>
  </si>
  <si>
    <t>IRCTC_REGISTER_003</t>
  </si>
  <si>
    <t>TO CHECK THAT USERNAME TEXT FIELD ACCEPTS MAXIMUM 35 ALPHABETS</t>
  </si>
  <si>
    <t>IRCTC_REGISTER_004</t>
  </si>
  <si>
    <t>TO CHECK THAT USERNAME TEXT FIELD ACCEPTS MAXIMUM 35 NUMBERS</t>
  </si>
  <si>
    <t>IRCTC_REGISTER_005</t>
  </si>
  <si>
    <t>TO CHECK THAT USERNAME TEXT FIELD ACCEPTS EMPTY SPACE AS USERNAME</t>
  </si>
  <si>
    <t>NEGATIVE</t>
  </si>
  <si>
    <t>IRCTC_REGISTER_006</t>
  </si>
  <si>
    <t>TO CHECK THAT USERNAME TEXT FIELD ACCEPTS USERNAME STARTING WITH SPACE</t>
  </si>
  <si>
    <t>IRCTC_REGISTER_007</t>
  </si>
  <si>
    <t>TO CHECK THAT USERNAME TEXT FIELD ACCEPTS USERNAME WITH SPACE IN BETWEEN</t>
  </si>
  <si>
    <t>IRCTC_REGISTER_008</t>
  </si>
  <si>
    <t>TO CHECK THAT USERNAME TEXT FIELD ACCEPTS USERNAME WITH SPACE AT END</t>
  </si>
  <si>
    <t>IRCTC_REGISTER_009</t>
  </si>
  <si>
    <t>TO CHECK THAT USERNAME TEXT FIELD ACCEPTS USERNAME WITH SPECIAL CHARACTERS IRRESPECTIVE OF POSITION</t>
  </si>
  <si>
    <t>IRCTC_REGISTER_010</t>
  </si>
  <si>
    <t>IRCTC_REGISTER_011</t>
  </si>
  <si>
    <t>IRCTC_REGISTER_012</t>
  </si>
  <si>
    <t>IRCTC_REGISTER_013</t>
  </si>
  <si>
    <t>FULLNAME TEXT FIELD</t>
  </si>
  <si>
    <t>TO CHECK THAT FULLNAME TEXT FIELD ACCEPTS ONLY ALPHABETS</t>
  </si>
  <si>
    <t>TO CHECK THAT FULLNAME TEXT FIELD SHOULD ALLOW SPACES BETWEEN WORDS</t>
  </si>
  <si>
    <t>TO CHECK THAT FULLNAME TEXT FIELD SHOULD ACCEPT NUMBERS</t>
  </si>
  <si>
    <t>TO CHECK THAT FULLNAME TEXT FIELD SHOULD NOT ACCEPT SPECIAL CHARACTERS</t>
  </si>
  <si>
    <t>TO CHECK THAT FULLNAME TEXT FIELD SHOULD NOT ACCEPT EMOJIS</t>
  </si>
  <si>
    <t>IRCTC_REGISTER_014</t>
  </si>
  <si>
    <t>IRCTC_REGISTER_015</t>
  </si>
  <si>
    <t>IRCTC_REGISTER_016</t>
  </si>
  <si>
    <t>PASSWORD TEXT FIELD</t>
  </si>
  <si>
    <t>TO CHECK PASSWORD FIELD SHOULD BE 11 TO 15 CHARACTERS LONG</t>
  </si>
  <si>
    <t>TO CHECK PASSWORD FIELD SHOULD CONTAIN ONE LOWERCASE LETTER</t>
  </si>
  <si>
    <t>TO CHECK PASSWORD FIELD CONTAIN ONE LOWERCASE LETTER</t>
  </si>
  <si>
    <t xml:space="preserve">TO CHECK PASSWORD FIELD CONTAIN ONE NUMERIC DIGIT </t>
  </si>
  <si>
    <t>TO CHECK PASSWORD FIELD CONTAIN ONE SPECIAL CHARACTER</t>
  </si>
  <si>
    <t>TO CHECK PASSWORD FIELD CONTAIN SEQUENCE OR REPEATED NUMBERS</t>
  </si>
  <si>
    <t>TO CHECK PASSWORD SHOULD ACCEPT LESS THAN 11 CHARACTERS</t>
  </si>
  <si>
    <t>TO CHECK PASSWORD SHOULD ACCEPT  MORE THAN 15 CHARACTERS</t>
  </si>
  <si>
    <t>TO CHECK PASSWORD SHOULD ACCEPT ONLY LETTERS OR ONLY NUMBERS</t>
  </si>
  <si>
    <t>TO CHECK PASSWORD SHOULD ACCEPT PASSWORD WITHOUT UPPERCASE,LOWERCASE,NUMBER AND SPECIAL CHARACTER</t>
  </si>
  <si>
    <t>TO CHECK PASSWORD SHOULD ACCEPT SEQUENCE OR REPEATED NUMBERS</t>
  </si>
  <si>
    <t>IRCTC_REGISTER_017</t>
  </si>
  <si>
    <t>IRCTC_REGISTER_018</t>
  </si>
  <si>
    <t>IRCTC_REGISTER_019</t>
  </si>
  <si>
    <t>IRCTC_REGISTER_020</t>
  </si>
  <si>
    <t>IRCTC_REGISTER_022</t>
  </si>
  <si>
    <t>IRCTC_REGISTER_021</t>
  </si>
  <si>
    <t>IRCTC_REGISTER_026</t>
  </si>
  <si>
    <t>IRCTC_REGISTER_027</t>
  </si>
  <si>
    <t>IRCTC_REGISTER_025</t>
  </si>
  <si>
    <t>IRCTC_REGISTER_024</t>
  </si>
  <si>
    <t>IRCTC_REGISTER_023</t>
  </si>
  <si>
    <t>IRCTC_REGISTER_028</t>
  </si>
  <si>
    <t>IRCTC_REGISTER_029</t>
  </si>
  <si>
    <t>EMAIL TEST FIELD</t>
  </si>
  <si>
    <t>EMAIL TEST FEILD</t>
  </si>
  <si>
    <t>IRCTC_REGISTER_030</t>
  </si>
  <si>
    <t>IRCTC_REGISTER_031</t>
  </si>
  <si>
    <t>IRCTC_REGISTER_032</t>
  </si>
  <si>
    <t>IRCTC_REGISTER_033</t>
  </si>
  <si>
    <t>IRCTC_REGISTER_034</t>
  </si>
  <si>
    <t>IRCTC_REGISTER_035</t>
  </si>
  <si>
    <t>TO CHECK THAT EMAIL FIELD ACCEPTS VALID EMAIL FORMAT</t>
  </si>
  <si>
    <t>TO CHECK THAT EMAIL FIELD ACCEPTS ALPHANUMERIC EMAIL IDS</t>
  </si>
  <si>
    <t>TO CHECK THAT EMAIL FIELD ACCEPTS DIFFERENT DOMAINS (.COM, .ORG, .CO.IN)</t>
  </si>
  <si>
    <t>TO CHECK THAT EMAIL FIELD DOES NOT ACCEPT EMAIL WITHOUT @ SYMBOL</t>
  </si>
  <si>
    <t>TO CHECK THAT EMAIL FIELD DOES NOT ACCEPT EMAIL WITHOUT DOMAIN</t>
  </si>
  <si>
    <t>TO CHECK THAT EMAIL FIELD DOES NOT ACCEPT EMAIL WITH SPACES</t>
  </si>
  <si>
    <t>TO CHECK THAT EMAIL FIELD DOES NOT ACCEPT EMOJIS OR INVALID CHARACTERS</t>
  </si>
  <si>
    <t>MOBILE NUMBER FIELD</t>
  </si>
  <si>
    <t>TO CHECK THAT MOBILE NUMBER FIELD ACCEPTS ONLY NUMBERS</t>
  </si>
  <si>
    <t>TO CHECK THAT MOBILE NUMBER FIELD ACCEPTS EXACTLY 10 DIGITS</t>
  </si>
  <si>
    <t>TO CHECK THAT MOBILE NUMBER FIELD ALLOWS VALID MOBILE NUMBER SUBMISSION</t>
  </si>
  <si>
    <t>TO CHECK THAT MOBILE NUMBER FIELD DOES NOT ACCEPT ALPHABETS</t>
  </si>
  <si>
    <t>TO CHECK THAT MOBILE NUMBER FIELD DOES NOT ACCEPT SPECIAL CHARACTERS</t>
  </si>
  <si>
    <t>TO CHECK THAT MOBILE NUMBER FIELD DOES NOT ACCEPT LESS OR MORE THAN 10 DIGITS</t>
  </si>
  <si>
    <t>TO CHECK THAT MOBILE NUMBER FIELD DOES NOT ACCEPT SPACES</t>
  </si>
  <si>
    <t>CAPTCHA FIELD</t>
  </si>
  <si>
    <t>TO CHECK THAT USER CAN ENTER CAPTCHA AS DISPLAYED</t>
  </si>
  <si>
    <t>TO CHECK THAT SYSTEM ALLOWS SUBMISSION WITH CORRECT CAPTCHA</t>
  </si>
  <si>
    <t>TO CHECK THAT CAPTCHA REFRESH GENERATES NEW CAPTCHA</t>
  </si>
  <si>
    <t>TO CHECK THAT SYSTEM DOES NOT ALLOW EMPTY CAPTCHA SUBMISSION</t>
  </si>
  <si>
    <t>TO CHECK THAT SYSTEM SHOWS ERROR MESSAGE FOR WRONG CAPTCHA</t>
  </si>
  <si>
    <t>COUNTRY CODE DROPDOWN</t>
  </si>
  <si>
    <t>TO CHECK THAT USER CAN SELECT COUNTRY CODE FROM DROPDOWN</t>
  </si>
  <si>
    <t>TO CHECK THAT DEFAULT COUNTRY CODE APPEARS AS +91 FOR INDIA</t>
  </si>
  <si>
    <t>TO CHECK THAT SYSTEM DOES NOT ALLOW INVALID COUNTRY CODE SELECTION</t>
  </si>
  <si>
    <t>TO CHECK THAT SYSTEM SHOWS ERROR IF COUNTRY CODE IS NOT SELECTED</t>
  </si>
  <si>
    <t>SCENARIO_DESCRIPTION</t>
  </si>
  <si>
    <t>SCENARIO_ID</t>
  </si>
  <si>
    <t>SCENARIO_TYPE</t>
  </si>
  <si>
    <t>TO CHECK PASSWORD FIELD SHOULD CONTAIN ONE UPPERCASE LETTER</t>
  </si>
  <si>
    <t>TO CHECK THAT USERNAME TEXT FIELD ACCEPTS UPPERCASE AND LOWERCASE CHARACTERS</t>
  </si>
  <si>
    <t>REVIEWER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</si>
</sst>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/>
    <xf numFmtId="0" fontId="2" fillId="4" borderId="0" xfId="0" applyFont="1" applyFill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11"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BC2B3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C2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97AD-C1DE-4135-A09D-2947C2EE6805}">
  <dimension ref="A1:D99"/>
  <sheetViews>
    <sheetView tabSelected="1" workbookViewId="0">
      <selection activeCell="F14" sqref="F14"/>
    </sheetView>
  </sheetViews>
  <sheetFormatPr defaultRowHeight="14.4" x14ac:dyDescent="0.3"/>
  <cols>
    <col min="1" max="1" width="19" style="1" bestFit="1" customWidth="1"/>
    <col min="2" max="2" width="25.21875" style="1" bestFit="1" customWidth="1"/>
    <col min="3" max="3" width="104.21875" style="1" bestFit="1" customWidth="1"/>
    <col min="4" max="4" width="14.6640625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/>
      <c r="D1" s="2"/>
    </row>
    <row r="2" spans="1:4" x14ac:dyDescent="0.3">
      <c r="A2" s="2" t="s">
        <v>2</v>
      </c>
      <c r="B2" s="2" t="s">
        <v>3</v>
      </c>
      <c r="C2" s="2"/>
      <c r="D2" s="2"/>
    </row>
    <row r="3" spans="1:4" x14ac:dyDescent="0.3">
      <c r="A3" s="2" t="s">
        <v>4</v>
      </c>
      <c r="B3" s="2" t="s">
        <v>5</v>
      </c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10" t="s">
        <v>102</v>
      </c>
      <c r="B5" s="10" t="s">
        <v>6</v>
      </c>
      <c r="C5" s="10" t="s">
        <v>101</v>
      </c>
      <c r="D5" s="10" t="s">
        <v>103</v>
      </c>
    </row>
    <row r="6" spans="1:4" x14ac:dyDescent="0.3">
      <c r="A6" s="3"/>
      <c r="B6" s="3"/>
      <c r="C6" s="3"/>
      <c r="D6" s="3"/>
    </row>
    <row r="7" spans="1:4" x14ac:dyDescent="0.3">
      <c r="A7" s="3" t="s">
        <v>7</v>
      </c>
      <c r="B7" s="3" t="s">
        <v>8</v>
      </c>
      <c r="C7" s="3" t="s">
        <v>9</v>
      </c>
      <c r="D7" s="3" t="s">
        <v>10</v>
      </c>
    </row>
    <row r="8" spans="1:4" x14ac:dyDescent="0.3">
      <c r="A8" s="3" t="s">
        <v>12</v>
      </c>
      <c r="B8" s="3" t="s">
        <v>8</v>
      </c>
      <c r="C8" s="3" t="s">
        <v>13</v>
      </c>
      <c r="D8" s="3" t="s">
        <v>10</v>
      </c>
    </row>
    <row r="9" spans="1:4" x14ac:dyDescent="0.3">
      <c r="A9" s="3" t="s">
        <v>14</v>
      </c>
      <c r="B9" s="3" t="s">
        <v>8</v>
      </c>
      <c r="C9" s="3" t="s">
        <v>15</v>
      </c>
      <c r="D9" s="3" t="s">
        <v>10</v>
      </c>
    </row>
    <row r="10" spans="1:4" x14ac:dyDescent="0.3">
      <c r="A10" s="3" t="s">
        <v>16</v>
      </c>
      <c r="B10" s="3" t="s">
        <v>8</v>
      </c>
      <c r="C10" s="3" t="s">
        <v>17</v>
      </c>
      <c r="D10" s="3" t="s">
        <v>10</v>
      </c>
    </row>
    <row r="11" spans="1:4" x14ac:dyDescent="0.3">
      <c r="A11" s="3" t="s">
        <v>18</v>
      </c>
      <c r="B11" s="3" t="s">
        <v>8</v>
      </c>
      <c r="C11" s="3" t="s">
        <v>105</v>
      </c>
      <c r="D11" s="3" t="s">
        <v>10</v>
      </c>
    </row>
    <row r="12" spans="1:4" s="6" customFormat="1" x14ac:dyDescent="0.3">
      <c r="A12" s="4"/>
      <c r="B12" s="4"/>
      <c r="C12" s="4"/>
      <c r="D12" s="4"/>
    </row>
    <row r="13" spans="1:4" x14ac:dyDescent="0.3">
      <c r="A13" s="3" t="s">
        <v>21</v>
      </c>
      <c r="B13" s="3" t="s">
        <v>8</v>
      </c>
      <c r="C13" s="3" t="s">
        <v>19</v>
      </c>
      <c r="D13" s="3" t="s">
        <v>20</v>
      </c>
    </row>
    <row r="14" spans="1:4" x14ac:dyDescent="0.3">
      <c r="A14" s="3" t="s">
        <v>23</v>
      </c>
      <c r="B14" s="3" t="s">
        <v>8</v>
      </c>
      <c r="C14" s="3" t="s">
        <v>22</v>
      </c>
      <c r="D14" s="3" t="s">
        <v>20</v>
      </c>
    </row>
    <row r="15" spans="1:4" x14ac:dyDescent="0.3">
      <c r="A15" s="3" t="s">
        <v>25</v>
      </c>
      <c r="B15" s="3" t="s">
        <v>8</v>
      </c>
      <c r="C15" s="3" t="s">
        <v>24</v>
      </c>
      <c r="D15" s="3" t="s">
        <v>20</v>
      </c>
    </row>
    <row r="16" spans="1:4" x14ac:dyDescent="0.3">
      <c r="A16" s="3" t="s">
        <v>27</v>
      </c>
      <c r="B16" s="3" t="s">
        <v>8</v>
      </c>
      <c r="C16" s="3" t="s">
        <v>26</v>
      </c>
      <c r="D16" s="3" t="s">
        <v>20</v>
      </c>
    </row>
    <row r="17" spans="1:4" x14ac:dyDescent="0.3">
      <c r="A17" s="3" t="s">
        <v>29</v>
      </c>
      <c r="B17" s="3" t="s">
        <v>8</v>
      </c>
      <c r="C17" s="3" t="s">
        <v>28</v>
      </c>
      <c r="D17" s="3" t="s">
        <v>20</v>
      </c>
    </row>
    <row r="18" spans="1:4" x14ac:dyDescent="0.3">
      <c r="A18" s="3"/>
      <c r="B18" s="3"/>
      <c r="C18" s="3"/>
      <c r="D18" s="3"/>
    </row>
    <row r="19" spans="1:4" x14ac:dyDescent="0.3">
      <c r="A19" s="3"/>
      <c r="B19" s="3"/>
      <c r="C19" s="3"/>
      <c r="D19" s="3"/>
    </row>
    <row r="20" spans="1:4" s="6" customFormat="1" x14ac:dyDescent="0.3">
      <c r="A20" s="5"/>
      <c r="B20" s="5"/>
      <c r="C20" s="5"/>
      <c r="D20" s="5"/>
    </row>
    <row r="21" spans="1:4" x14ac:dyDescent="0.3">
      <c r="A21" s="3"/>
      <c r="B21" s="3"/>
      <c r="C21" s="3"/>
      <c r="D21" s="3"/>
    </row>
    <row r="22" spans="1:4" x14ac:dyDescent="0.3">
      <c r="A22" s="3"/>
      <c r="B22" s="3"/>
      <c r="C22" s="3"/>
      <c r="D22" s="3"/>
    </row>
    <row r="23" spans="1:4" x14ac:dyDescent="0.3">
      <c r="A23" s="3" t="s">
        <v>30</v>
      </c>
      <c r="B23" s="3" t="s">
        <v>33</v>
      </c>
      <c r="C23" s="3" t="s">
        <v>34</v>
      </c>
      <c r="D23" s="3" t="s">
        <v>10</v>
      </c>
    </row>
    <row r="24" spans="1:4" x14ac:dyDescent="0.3">
      <c r="A24" s="3" t="s">
        <v>31</v>
      </c>
      <c r="B24" s="3" t="s">
        <v>33</v>
      </c>
      <c r="C24" s="3" t="s">
        <v>35</v>
      </c>
      <c r="D24" s="3" t="s">
        <v>10</v>
      </c>
    </row>
    <row r="25" spans="1:4" s="6" customFormat="1" x14ac:dyDescent="0.3">
      <c r="A25" s="4"/>
      <c r="B25" s="4"/>
      <c r="C25" s="4"/>
      <c r="D25" s="4"/>
    </row>
    <row r="26" spans="1:4" x14ac:dyDescent="0.3">
      <c r="A26" s="3" t="s">
        <v>32</v>
      </c>
      <c r="B26" s="3" t="s">
        <v>33</v>
      </c>
      <c r="C26" s="3" t="s">
        <v>36</v>
      </c>
      <c r="D26" s="3" t="s">
        <v>20</v>
      </c>
    </row>
    <row r="27" spans="1:4" x14ac:dyDescent="0.3">
      <c r="A27" s="3" t="s">
        <v>39</v>
      </c>
      <c r="B27" s="3" t="s">
        <v>33</v>
      </c>
      <c r="C27" s="3" t="s">
        <v>37</v>
      </c>
      <c r="D27" s="3" t="s">
        <v>20</v>
      </c>
    </row>
    <row r="28" spans="1:4" x14ac:dyDescent="0.3">
      <c r="A28" s="3" t="s">
        <v>40</v>
      </c>
      <c r="B28" s="3" t="s">
        <v>33</v>
      </c>
      <c r="C28" s="3" t="s">
        <v>38</v>
      </c>
      <c r="D28" s="3" t="s">
        <v>20</v>
      </c>
    </row>
    <row r="29" spans="1:4" x14ac:dyDescent="0.3">
      <c r="A29" s="3"/>
      <c r="B29" s="3"/>
      <c r="C29" s="3"/>
      <c r="D29" s="3"/>
    </row>
    <row r="30" spans="1:4" x14ac:dyDescent="0.3">
      <c r="A30" s="3"/>
      <c r="B30" s="3"/>
      <c r="C30" s="3"/>
      <c r="D30" s="3"/>
    </row>
    <row r="31" spans="1:4" s="6" customFormat="1" x14ac:dyDescent="0.3">
      <c r="A31" s="5"/>
      <c r="B31" s="5"/>
      <c r="C31" s="5"/>
      <c r="D31" s="5"/>
    </row>
    <row r="32" spans="1:4" x14ac:dyDescent="0.3">
      <c r="A32" s="3"/>
      <c r="B32" s="3"/>
      <c r="C32" s="3"/>
      <c r="D32" s="3"/>
    </row>
    <row r="33" spans="1:4" x14ac:dyDescent="0.3">
      <c r="A33" s="3"/>
      <c r="B33" s="3"/>
      <c r="C33" s="3"/>
      <c r="D33" s="3"/>
    </row>
    <row r="34" spans="1:4" x14ac:dyDescent="0.3">
      <c r="A34" s="3" t="s">
        <v>41</v>
      </c>
      <c r="B34" s="3" t="s">
        <v>42</v>
      </c>
      <c r="C34" s="3" t="s">
        <v>43</v>
      </c>
      <c r="D34" s="3" t="s">
        <v>10</v>
      </c>
    </row>
    <row r="35" spans="1:4" x14ac:dyDescent="0.3">
      <c r="A35" s="3" t="s">
        <v>54</v>
      </c>
      <c r="B35" s="3" t="s">
        <v>42</v>
      </c>
      <c r="C35" s="3" t="s">
        <v>104</v>
      </c>
      <c r="D35" s="3" t="s">
        <v>10</v>
      </c>
    </row>
    <row r="36" spans="1:4" x14ac:dyDescent="0.3">
      <c r="A36" s="3" t="s">
        <v>55</v>
      </c>
      <c r="B36" s="3" t="s">
        <v>42</v>
      </c>
      <c r="C36" s="3" t="s">
        <v>44</v>
      </c>
      <c r="D36" s="3" t="s">
        <v>10</v>
      </c>
    </row>
    <row r="37" spans="1:4" x14ac:dyDescent="0.3">
      <c r="A37" s="3" t="s">
        <v>56</v>
      </c>
      <c r="B37" s="3" t="s">
        <v>42</v>
      </c>
      <c r="C37" s="3" t="s">
        <v>45</v>
      </c>
      <c r="D37" s="3" t="s">
        <v>10</v>
      </c>
    </row>
    <row r="38" spans="1:4" x14ac:dyDescent="0.3">
      <c r="A38" s="3" t="s">
        <v>57</v>
      </c>
      <c r="B38" s="3" t="s">
        <v>42</v>
      </c>
      <c r="C38" s="3" t="s">
        <v>45</v>
      </c>
      <c r="D38" s="3" t="s">
        <v>10</v>
      </c>
    </row>
    <row r="39" spans="1:4" x14ac:dyDescent="0.3">
      <c r="A39" s="3" t="s">
        <v>59</v>
      </c>
      <c r="B39" s="3" t="s">
        <v>42</v>
      </c>
      <c r="C39" s="3" t="s">
        <v>46</v>
      </c>
      <c r="D39" s="3" t="s">
        <v>10</v>
      </c>
    </row>
    <row r="40" spans="1:4" x14ac:dyDescent="0.3">
      <c r="A40" s="3" t="s">
        <v>58</v>
      </c>
      <c r="B40" s="3" t="s">
        <v>42</v>
      </c>
      <c r="C40" s="3" t="s">
        <v>47</v>
      </c>
      <c r="D40" s="3" t="s">
        <v>10</v>
      </c>
    </row>
    <row r="41" spans="1:4" x14ac:dyDescent="0.3">
      <c r="A41" s="3" t="s">
        <v>64</v>
      </c>
      <c r="B41" s="3" t="s">
        <v>42</v>
      </c>
      <c r="C41" s="3" t="s">
        <v>48</v>
      </c>
      <c r="D41" s="3" t="s">
        <v>10</v>
      </c>
    </row>
    <row r="42" spans="1:4" s="6" customFormat="1" x14ac:dyDescent="0.3">
      <c r="A42" s="4"/>
      <c r="B42" s="4"/>
      <c r="C42" s="4"/>
      <c r="D42" s="4"/>
    </row>
    <row r="43" spans="1:4" x14ac:dyDescent="0.3">
      <c r="A43" s="3" t="s">
        <v>63</v>
      </c>
      <c r="B43" s="3" t="s">
        <v>42</v>
      </c>
      <c r="C43" s="3" t="s">
        <v>49</v>
      </c>
      <c r="D43" s="3" t="s">
        <v>20</v>
      </c>
    </row>
    <row r="44" spans="1:4" x14ac:dyDescent="0.3">
      <c r="A44" s="3" t="s">
        <v>62</v>
      </c>
      <c r="B44" s="3" t="s">
        <v>42</v>
      </c>
      <c r="C44" s="3" t="s">
        <v>50</v>
      </c>
      <c r="D44" s="3" t="s">
        <v>20</v>
      </c>
    </row>
    <row r="45" spans="1:4" x14ac:dyDescent="0.3">
      <c r="A45" s="3" t="s">
        <v>60</v>
      </c>
      <c r="B45" s="3" t="s">
        <v>42</v>
      </c>
      <c r="C45" s="3" t="s">
        <v>51</v>
      </c>
      <c r="D45" s="3" t="s">
        <v>20</v>
      </c>
    </row>
    <row r="46" spans="1:4" x14ac:dyDescent="0.3">
      <c r="A46" s="3" t="s">
        <v>61</v>
      </c>
      <c r="B46" s="3" t="s">
        <v>42</v>
      </c>
      <c r="C46" s="3" t="s">
        <v>52</v>
      </c>
      <c r="D46" s="3" t="s">
        <v>20</v>
      </c>
    </row>
    <row r="47" spans="1:4" x14ac:dyDescent="0.3">
      <c r="A47" s="3" t="s">
        <v>65</v>
      </c>
      <c r="B47" s="3" t="s">
        <v>42</v>
      </c>
      <c r="C47" s="3" t="s">
        <v>53</v>
      </c>
      <c r="D47" s="3" t="s">
        <v>20</v>
      </c>
    </row>
    <row r="48" spans="1:4" x14ac:dyDescent="0.3">
      <c r="A48" s="3"/>
      <c r="B48" s="3"/>
      <c r="C48" s="3"/>
      <c r="D48" s="3"/>
    </row>
    <row r="49" spans="1:4" x14ac:dyDescent="0.3">
      <c r="A49" s="3"/>
      <c r="B49" s="3"/>
      <c r="C49" s="3"/>
      <c r="D49" s="3"/>
    </row>
    <row r="50" spans="1:4" s="6" customFormat="1" x14ac:dyDescent="0.3">
      <c r="A50" s="5"/>
      <c r="B50" s="5"/>
      <c r="C50" s="5"/>
      <c r="D50" s="5"/>
    </row>
    <row r="51" spans="1:4" x14ac:dyDescent="0.3">
      <c r="A51" s="3"/>
      <c r="B51" s="3"/>
      <c r="C51" s="3"/>
      <c r="D51" s="3"/>
    </row>
    <row r="52" spans="1:4" x14ac:dyDescent="0.3">
      <c r="A52" s="3"/>
      <c r="B52" s="3"/>
      <c r="C52" s="3"/>
      <c r="D52" s="3"/>
    </row>
    <row r="53" spans="1:4" x14ac:dyDescent="0.3">
      <c r="A53" s="3" t="s">
        <v>66</v>
      </c>
      <c r="B53" s="3" t="s">
        <v>67</v>
      </c>
      <c r="C53" s="7" t="s">
        <v>75</v>
      </c>
      <c r="D53" s="3" t="s">
        <v>10</v>
      </c>
    </row>
    <row r="54" spans="1:4" x14ac:dyDescent="0.3">
      <c r="A54" s="3" t="s">
        <v>69</v>
      </c>
      <c r="B54" s="3" t="s">
        <v>68</v>
      </c>
      <c r="C54" s="7" t="s">
        <v>76</v>
      </c>
      <c r="D54" s="3" t="s">
        <v>10</v>
      </c>
    </row>
    <row r="55" spans="1:4" x14ac:dyDescent="0.3">
      <c r="A55" s="3" t="s">
        <v>70</v>
      </c>
      <c r="B55" s="3" t="s">
        <v>68</v>
      </c>
      <c r="C55" s="7" t="s">
        <v>77</v>
      </c>
      <c r="D55" s="3" t="s">
        <v>10</v>
      </c>
    </row>
    <row r="56" spans="1:4" x14ac:dyDescent="0.3">
      <c r="A56" s="4"/>
      <c r="B56" s="4"/>
      <c r="C56" s="4"/>
      <c r="D56" s="4"/>
    </row>
    <row r="57" spans="1:4" x14ac:dyDescent="0.3">
      <c r="A57" s="3" t="s">
        <v>71</v>
      </c>
      <c r="B57" s="3" t="s">
        <v>68</v>
      </c>
      <c r="C57" s="7" t="s">
        <v>78</v>
      </c>
      <c r="D57" s="3" t="s">
        <v>20</v>
      </c>
    </row>
    <row r="58" spans="1:4" x14ac:dyDescent="0.3">
      <c r="A58" s="3" t="s">
        <v>72</v>
      </c>
      <c r="B58" s="3" t="s">
        <v>68</v>
      </c>
      <c r="C58" s="7" t="s">
        <v>79</v>
      </c>
      <c r="D58" s="3" t="s">
        <v>20</v>
      </c>
    </row>
    <row r="59" spans="1:4" x14ac:dyDescent="0.3">
      <c r="A59" s="3" t="s">
        <v>73</v>
      </c>
      <c r="B59" s="3" t="s">
        <v>68</v>
      </c>
      <c r="C59" s="7" t="s">
        <v>80</v>
      </c>
      <c r="D59" s="3" t="s">
        <v>20</v>
      </c>
    </row>
    <row r="60" spans="1:4" x14ac:dyDescent="0.3">
      <c r="A60" s="3" t="s">
        <v>74</v>
      </c>
      <c r="B60" s="3" t="s">
        <v>68</v>
      </c>
      <c r="C60" s="7" t="s">
        <v>81</v>
      </c>
      <c r="D60" s="3" t="s">
        <v>20</v>
      </c>
    </row>
    <row r="61" spans="1:4" x14ac:dyDescent="0.3">
      <c r="A61" s="3"/>
      <c r="B61" s="3"/>
      <c r="C61" s="7"/>
      <c r="D61" s="3"/>
    </row>
    <row r="62" spans="1:4" x14ac:dyDescent="0.3">
      <c r="A62" s="3"/>
      <c r="B62" s="3"/>
      <c r="C62" s="3"/>
      <c r="D62" s="3"/>
    </row>
    <row r="63" spans="1:4" x14ac:dyDescent="0.3">
      <c r="A63" s="5"/>
      <c r="B63" s="5"/>
      <c r="C63" s="5"/>
      <c r="D63" s="5"/>
    </row>
    <row r="64" spans="1:4" x14ac:dyDescent="0.3">
      <c r="A64" s="3"/>
      <c r="B64" s="3"/>
      <c r="C64" s="3"/>
      <c r="D64" s="3"/>
    </row>
    <row r="65" spans="1:4" x14ac:dyDescent="0.3">
      <c r="A65" s="3"/>
      <c r="B65" s="3"/>
      <c r="C65" s="3"/>
      <c r="D65" s="3"/>
    </row>
    <row r="66" spans="1:4" x14ac:dyDescent="0.3">
      <c r="A66" s="3" t="str">
        <f>"IRCTC_REGISTER_0"&amp;TEXT(ROW(A1),"36")</f>
        <v>IRCTC_REGISTER_036</v>
      </c>
      <c r="B66" s="3" t="s">
        <v>82</v>
      </c>
      <c r="C66" s="7" t="s">
        <v>83</v>
      </c>
      <c r="D66" s="3" t="s">
        <v>10</v>
      </c>
    </row>
    <row r="67" spans="1:4" x14ac:dyDescent="0.3">
      <c r="A67" s="3" t="str">
        <f>"IRCTC_REGISTER_0"&amp;TEXT(ROW(A2),"37")</f>
        <v>IRCTC_REGISTER_037</v>
      </c>
      <c r="B67" s="3" t="s">
        <v>82</v>
      </c>
      <c r="C67" s="7" t="s">
        <v>84</v>
      </c>
      <c r="D67" s="3" t="s">
        <v>10</v>
      </c>
    </row>
    <row r="68" spans="1:4" x14ac:dyDescent="0.3">
      <c r="A68" s="3" t="str">
        <f>"IRCTC_REGISTER_0"&amp;TEXT(ROW(A3),"38")</f>
        <v>IRCTC_REGISTER_038</v>
      </c>
      <c r="B68" s="3" t="s">
        <v>82</v>
      </c>
      <c r="C68" s="7" t="s">
        <v>85</v>
      </c>
      <c r="D68" s="3" t="s">
        <v>10</v>
      </c>
    </row>
    <row r="69" spans="1:4" x14ac:dyDescent="0.3">
      <c r="A69" s="4"/>
      <c r="B69" s="4"/>
      <c r="C69" s="4"/>
      <c r="D69" s="4"/>
    </row>
    <row r="70" spans="1:4" x14ac:dyDescent="0.3">
      <c r="A70" s="3" t="str">
        <f>"IRCTC_REGISTER_" &amp; TEXT(ROW(A1)+38,"000")</f>
        <v>IRCTC_REGISTER_039</v>
      </c>
      <c r="B70" s="3" t="s">
        <v>82</v>
      </c>
      <c r="C70" s="7" t="s">
        <v>86</v>
      </c>
      <c r="D70" s="3" t="s">
        <v>20</v>
      </c>
    </row>
    <row r="71" spans="1:4" x14ac:dyDescent="0.3">
      <c r="A71" s="3" t="str">
        <f t="shared" ref="A71:A73" si="0">"IRCTC_REGISTER_" &amp; TEXT(ROW(A2)+38,"000")</f>
        <v>IRCTC_REGISTER_040</v>
      </c>
      <c r="B71" s="3" t="s">
        <v>82</v>
      </c>
      <c r="C71" s="7" t="s">
        <v>87</v>
      </c>
      <c r="D71" s="3" t="s">
        <v>20</v>
      </c>
    </row>
    <row r="72" spans="1:4" x14ac:dyDescent="0.3">
      <c r="A72" s="3" t="str">
        <f t="shared" si="0"/>
        <v>IRCTC_REGISTER_041</v>
      </c>
      <c r="B72" s="3" t="s">
        <v>82</v>
      </c>
      <c r="C72" s="7" t="s">
        <v>88</v>
      </c>
      <c r="D72" s="3" t="s">
        <v>20</v>
      </c>
    </row>
    <row r="73" spans="1:4" x14ac:dyDescent="0.3">
      <c r="A73" s="3" t="str">
        <f t="shared" si="0"/>
        <v>IRCTC_REGISTER_042</v>
      </c>
      <c r="B73" s="3" t="s">
        <v>82</v>
      </c>
      <c r="C73" s="7" t="s">
        <v>89</v>
      </c>
      <c r="D73" s="3" t="s">
        <v>20</v>
      </c>
    </row>
    <row r="74" spans="1:4" x14ac:dyDescent="0.3">
      <c r="A74" s="3"/>
      <c r="B74" s="3"/>
      <c r="C74" s="7"/>
      <c r="D74" s="3"/>
    </row>
    <row r="75" spans="1:4" x14ac:dyDescent="0.3">
      <c r="A75" s="3"/>
      <c r="B75" s="3"/>
      <c r="C75" s="3"/>
      <c r="D75" s="3"/>
    </row>
    <row r="76" spans="1:4" s="6" customFormat="1" x14ac:dyDescent="0.3">
      <c r="A76" s="5"/>
      <c r="B76" s="5"/>
      <c r="C76" s="5"/>
      <c r="D76" s="5"/>
    </row>
    <row r="77" spans="1:4" x14ac:dyDescent="0.3">
      <c r="A77" s="3"/>
      <c r="B77" s="3"/>
      <c r="C77" s="3"/>
      <c r="D77" s="3"/>
    </row>
    <row r="78" spans="1:4" x14ac:dyDescent="0.3">
      <c r="A78" s="3"/>
      <c r="B78" s="3"/>
      <c r="C78" s="3"/>
      <c r="D78" s="3"/>
    </row>
    <row r="79" spans="1:4" x14ac:dyDescent="0.3">
      <c r="A79" s="3" t="str">
        <f>"IRCTC_REGISTER_" &amp; TEXT(ROW(A1)+42,"000")</f>
        <v>IRCTC_REGISTER_043</v>
      </c>
      <c r="B79" s="7" t="s">
        <v>90</v>
      </c>
      <c r="C79" s="7" t="s">
        <v>91</v>
      </c>
      <c r="D79" s="3" t="s">
        <v>10</v>
      </c>
    </row>
    <row r="80" spans="1:4" x14ac:dyDescent="0.3">
      <c r="A80" s="3" t="str">
        <f t="shared" ref="A80:A84" si="1">"IRCTC_REGISTER_" &amp; TEXT(ROW(A2)+42,"000")</f>
        <v>IRCTC_REGISTER_044</v>
      </c>
      <c r="B80" s="7" t="s">
        <v>90</v>
      </c>
      <c r="C80" s="7" t="s">
        <v>92</v>
      </c>
      <c r="D80" s="3" t="s">
        <v>10</v>
      </c>
    </row>
    <row r="81" spans="1:4" x14ac:dyDescent="0.3">
      <c r="A81" s="3" t="str">
        <f t="shared" si="1"/>
        <v>IRCTC_REGISTER_045</v>
      </c>
      <c r="B81" s="7" t="s">
        <v>90</v>
      </c>
      <c r="C81" s="7" t="s">
        <v>93</v>
      </c>
      <c r="D81" s="3" t="s">
        <v>10</v>
      </c>
    </row>
    <row r="82" spans="1:4" x14ac:dyDescent="0.3">
      <c r="A82" s="4"/>
      <c r="B82" s="4"/>
      <c r="C82" s="4"/>
      <c r="D82" s="4"/>
    </row>
    <row r="83" spans="1:4" x14ac:dyDescent="0.3">
      <c r="A83" s="3" t="str">
        <f t="shared" si="1"/>
        <v>IRCTC_REGISTER_047</v>
      </c>
      <c r="B83" s="7" t="s">
        <v>90</v>
      </c>
      <c r="C83" s="7" t="s">
        <v>95</v>
      </c>
      <c r="D83" s="3" t="s">
        <v>20</v>
      </c>
    </row>
    <row r="84" spans="1:4" x14ac:dyDescent="0.3">
      <c r="A84" s="3" t="str">
        <f t="shared" si="1"/>
        <v>IRCTC_REGISTER_048</v>
      </c>
      <c r="B84" s="7" t="s">
        <v>90</v>
      </c>
      <c r="C84" s="7" t="s">
        <v>94</v>
      </c>
      <c r="D84" s="3" t="s">
        <v>20</v>
      </c>
    </row>
    <row r="85" spans="1:4" x14ac:dyDescent="0.3">
      <c r="A85" s="3"/>
      <c r="B85" s="7"/>
      <c r="C85" s="7"/>
      <c r="D85" s="3"/>
    </row>
    <row r="86" spans="1:4" x14ac:dyDescent="0.3">
      <c r="A86" s="3"/>
      <c r="B86" s="7"/>
      <c r="C86" s="7"/>
      <c r="D86" s="3"/>
    </row>
    <row r="87" spans="1:4" x14ac:dyDescent="0.3">
      <c r="A87" s="5"/>
      <c r="B87" s="8"/>
      <c r="C87" s="8"/>
      <c r="D87" s="5"/>
    </row>
    <row r="88" spans="1:4" x14ac:dyDescent="0.3">
      <c r="A88" s="3"/>
      <c r="B88" s="3"/>
      <c r="C88" s="3"/>
      <c r="D88" s="3"/>
    </row>
    <row r="89" spans="1:4" x14ac:dyDescent="0.3">
      <c r="A89" s="3"/>
      <c r="B89" s="3"/>
      <c r="C89" s="3"/>
      <c r="D89" s="3"/>
    </row>
    <row r="90" spans="1:4" x14ac:dyDescent="0.3">
      <c r="A90" s="3" t="str">
        <f>"IRCTC_REGISTER_" &amp; TEXT(ROW(A8)+42,"000")</f>
        <v>IRCTC_REGISTER_050</v>
      </c>
      <c r="B90" s="7" t="s">
        <v>96</v>
      </c>
      <c r="C90" s="7" t="s">
        <v>97</v>
      </c>
      <c r="D90" s="3" t="s">
        <v>10</v>
      </c>
    </row>
    <row r="91" spans="1:4" x14ac:dyDescent="0.3">
      <c r="A91" s="3" t="str">
        <f>"IRCTC_REGISTER_" &amp; TEXT(ROW(A9)+42,"000")</f>
        <v>IRCTC_REGISTER_051</v>
      </c>
      <c r="B91" s="7" t="s">
        <v>96</v>
      </c>
      <c r="C91" s="7" t="s">
        <v>98</v>
      </c>
      <c r="D91" s="3" t="s">
        <v>10</v>
      </c>
    </row>
    <row r="92" spans="1:4" x14ac:dyDescent="0.3">
      <c r="A92" s="4"/>
      <c r="B92" s="4"/>
      <c r="C92" s="4"/>
      <c r="D92" s="4"/>
    </row>
    <row r="93" spans="1:4" x14ac:dyDescent="0.3">
      <c r="A93" s="3" t="str">
        <f>"IRCTC_REGISTER_" &amp; TEXT(ROW(A11)+42,"000")</f>
        <v>IRCTC_REGISTER_053</v>
      </c>
      <c r="B93" s="7" t="s">
        <v>96</v>
      </c>
      <c r="C93" s="7" t="s">
        <v>99</v>
      </c>
      <c r="D93" s="3" t="s">
        <v>20</v>
      </c>
    </row>
    <row r="94" spans="1:4" x14ac:dyDescent="0.3">
      <c r="A94" s="3" t="str">
        <f>"IRCTC_REGISTER_" &amp; TEXT(ROW(A12)+42,"000")</f>
        <v>IRCTC_REGISTER_054</v>
      </c>
      <c r="B94" s="7" t="s">
        <v>96</v>
      </c>
      <c r="C94" s="7" t="s">
        <v>100</v>
      </c>
      <c r="D94" s="3" t="s">
        <v>20</v>
      </c>
    </row>
    <row r="95" spans="1:4" x14ac:dyDescent="0.3">
      <c r="A95" s="3"/>
      <c r="B95" s="3"/>
      <c r="C95" s="3"/>
      <c r="D95" s="3"/>
    </row>
    <row r="96" spans="1:4" x14ac:dyDescent="0.3">
      <c r="A96" s="3"/>
      <c r="B96" s="3"/>
      <c r="C96" s="3"/>
      <c r="D96" s="3"/>
    </row>
    <row r="97" spans="1:4" x14ac:dyDescent="0.3">
      <c r="A97" s="3"/>
      <c r="B97" s="3"/>
      <c r="C97" s="3"/>
      <c r="D97" s="3"/>
    </row>
    <row r="98" spans="1:4" x14ac:dyDescent="0.3">
      <c r="A98" s="9" t="s">
        <v>106</v>
      </c>
      <c r="B98" s="3"/>
      <c r="C98" s="3"/>
      <c r="D98" s="3"/>
    </row>
    <row r="99" spans="1:4" x14ac:dyDescent="0.3">
      <c r="A99" s="9" t="s">
        <v>11</v>
      </c>
      <c r="B99" s="3"/>
      <c r="C99" s="3"/>
      <c r="D99" s="3"/>
    </row>
  </sheetData>
  <conditionalFormatting sqref="A53:A68">
    <cfRule type="duplicateValues" dxfId="10" priority="5"/>
  </conditionalFormatting>
  <conditionalFormatting sqref="D1:D1048576">
    <cfRule type="cellIs" dxfId="4" priority="3" operator="equal">
      <formula>"NEGATIVE"</formula>
    </cfRule>
    <cfRule type="cellIs" dxfId="5" priority="7" operator="equal">
      <formula>"positive"</formula>
    </cfRule>
    <cfRule type="cellIs" priority="8" operator="equal">
      <formula>"NEGATIVE"</formula>
    </cfRule>
    <cfRule type="cellIs" priority="9" operator="equal">
      <formula>"Fill color:Green "</formula>
    </cfRule>
    <cfRule type="cellIs" dxfId="6" priority="2" operator="equal">
      <formula>"POSITIVE"</formula>
    </cfRule>
    <cfRule type="cellIs" dxfId="3" priority="1" operator="equal">
      <formula>"NEGATIVE"</formula>
    </cfRule>
  </conditionalFormatting>
  <conditionalFormatting sqref="D53:D61">
    <cfRule type="cellIs" dxfId="9" priority="4" operator="equal">
      <formula>"POSITIVE"</formula>
    </cfRule>
  </conditionalFormatting>
  <dataValidations disablePrompts="1" count="1">
    <dataValidation type="list" allowBlank="1" showInputMessage="1" showErrorMessage="1" sqref="D7 D53:D61 D66:D67 D68 D69:D90 D92:D94 D91" xr:uid="{D41EE9E1-70BC-4543-A0F0-2FF30C648EA9}">
      <formula1>"POSITIVE,NEGATIVE"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Dipanshu Sehgal</cp:lastModifiedBy>
  <dcterms:created xsi:type="dcterms:W3CDTF">2026-03-09T08:33:46Z</dcterms:created>
  <dcterms:modified xsi:type="dcterms:W3CDTF">2026-03-10T09:22:59Z</dcterms:modified>
</cp:coreProperties>
</file>